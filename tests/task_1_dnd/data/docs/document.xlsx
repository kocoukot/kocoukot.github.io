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Папки пользователей\Личные папки\afonin.da\Проекты\Новая БМ\Курс\"/>
    </mc:Choice>
  </mc:AlternateContent>
  <bookViews>
    <workbookView xWindow="0" yWindow="0" windowWidth="28800" windowHeight="11100"/>
  </bookViews>
  <sheets>
    <sheet name="Календарь отгрузок" sheetId="1" r:id="rId1"/>
    <sheet name="Проверка" sheetId="3" r:id="rId2"/>
  </sheets>
  <calcPr calcId="162913"/>
</workbook>
</file>

<file path=xl/calcChain.xml><?xml version="1.0" encoding="utf-8"?>
<calcChain xmlns="http://schemas.openxmlformats.org/spreadsheetml/2006/main">
  <c r="I24" i="3" l="1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H2" i="3"/>
  <c r="H7" i="3"/>
  <c r="H6" i="3"/>
  <c r="H5" i="3"/>
  <c r="H4" i="3"/>
  <c r="H3" i="3"/>
  <c r="G2" i="3"/>
  <c r="G3" i="3" s="1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E23" i="3"/>
  <c r="E17" i="3"/>
  <c r="E15" i="3"/>
  <c r="C19" i="3"/>
  <c r="C20" i="3"/>
  <c r="C21" i="3"/>
  <c r="C22" i="3"/>
  <c r="C23" i="3"/>
  <c r="C24" i="3"/>
  <c r="C9" i="3"/>
  <c r="C10" i="3"/>
  <c r="C11" i="3"/>
  <c r="C12" i="3"/>
  <c r="C13" i="3"/>
  <c r="C14" i="3"/>
  <c r="C15" i="3"/>
  <c r="C16" i="3"/>
  <c r="C17" i="3"/>
  <c r="C18" i="3"/>
  <c r="C8" i="3"/>
  <c r="C7" i="3"/>
  <c r="C6" i="3"/>
  <c r="C5" i="3"/>
  <c r="C4" i="3"/>
  <c r="C3" i="3"/>
  <c r="C2" i="3"/>
  <c r="B32" i="3"/>
  <c r="B31" i="3"/>
  <c r="B30" i="3"/>
  <c r="B29" i="3"/>
  <c r="B28" i="3"/>
  <c r="B27" i="3"/>
  <c r="B26" i="3"/>
  <c r="B25" i="3"/>
  <c r="B24" i="3"/>
  <c r="E24" i="3" s="1"/>
  <c r="B23" i="3"/>
  <c r="B22" i="3"/>
  <c r="E22" i="3" s="1"/>
  <c r="B21" i="3"/>
  <c r="E21" i="3" s="1"/>
  <c r="B20" i="3"/>
  <c r="E20" i="3" s="1"/>
  <c r="B19" i="3"/>
  <c r="E19" i="3" s="1"/>
  <c r="B18" i="3"/>
  <c r="E18" i="3" s="1"/>
  <c r="B17" i="3"/>
  <c r="B16" i="3"/>
  <c r="E16" i="3" s="1"/>
  <c r="B15" i="3"/>
  <c r="B14" i="3"/>
  <c r="E14" i="3" s="1"/>
  <c r="B13" i="3"/>
  <c r="E13" i="3" s="1"/>
  <c r="B12" i="3"/>
  <c r="E12" i="3" s="1"/>
  <c r="B11" i="3"/>
  <c r="E11" i="3" s="1"/>
  <c r="B10" i="3"/>
  <c r="E10" i="3" s="1"/>
  <c r="B9" i="3"/>
  <c r="E9" i="3" s="1"/>
  <c r="B8" i="3"/>
  <c r="E8" i="3" s="1"/>
  <c r="B7" i="3"/>
  <c r="E7" i="3" s="1"/>
  <c r="B6" i="3"/>
  <c r="E6" i="3" s="1"/>
  <c r="B5" i="3"/>
  <c r="E5" i="3" s="1"/>
  <c r="B4" i="3"/>
  <c r="E4" i="3" s="1"/>
  <c r="B3" i="3"/>
  <c r="E3" i="3" s="1"/>
  <c r="B2" i="3"/>
  <c r="E2" i="3" s="1"/>
  <c r="G4" i="3" l="1"/>
  <c r="I3" i="3"/>
  <c r="I9" i="3"/>
  <c r="I2" i="3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I4" i="3"/>
  <c r="I5" i="3"/>
  <c r="I6" i="3" l="1"/>
  <c r="I7" i="3"/>
  <c r="I8" i="3" l="1"/>
  <c r="B36" i="3" l="1"/>
</calcChain>
</file>

<file path=xl/sharedStrings.xml><?xml version="1.0" encoding="utf-8"?>
<sst xmlns="http://schemas.openxmlformats.org/spreadsheetml/2006/main" count="78" uniqueCount="45">
  <si>
    <t>Календарь отгрузок (вагоны)</t>
  </si>
  <si>
    <t>Пн</t>
  </si>
  <si>
    <t>Вт</t>
  </si>
  <si>
    <t>Ср</t>
  </si>
  <si>
    <t>Чт</t>
  </si>
  <si>
    <t>Пт</t>
  </si>
  <si>
    <t>Сб</t>
  </si>
  <si>
    <t>Вс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</si>
  <si>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</si>
  <si>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</si>
  <si>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</si>
  <si>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</si>
  <si>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</si>
  <si>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</si>
  <si>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</si>
  <si>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</si>
  <si>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</si>
  <si>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</si>
  <si>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</si>
  <si>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</si>
  <si>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</si>
  <si>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</si>
  <si>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</si>
  <si>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</si>
  <si>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</si>
  <si>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</si>
  <si>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</si>
  <si>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</si>
  <si>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</si>
  <si>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</si>
  <si>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</si>
  <si>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</si>
  <si>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</si>
  <si>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</si>
  <si>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Календарь потребления (тонны)</t>
  </si>
  <si>
    <t>Прибыло (т)</t>
  </si>
  <si>
    <t>Потребление (т)</t>
  </si>
  <si>
    <t>Остаток на конец дня</t>
  </si>
  <si>
    <t>Требуемый остаток</t>
  </si>
  <si>
    <t>Проверка</t>
  </si>
  <si>
    <t>Итоговая проверка:</t>
  </si>
  <si>
    <t>Вагон</t>
  </si>
  <si>
    <t>Дата прибытия</t>
  </si>
  <si>
    <t>Дата отгрузки</t>
  </si>
  <si>
    <t>Дата потребления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</si>
</sst>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6"/>
      <color theme="5" tint="-0.249977111117893"/>
      <name val="Calibri"/>
      <family val="2"/>
      <charset val="204"/>
      <scheme val="minor"/>
    </font>
    <font>
      <sz val="16"/>
      <color theme="5" tint="-0.24997711111789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lightUp">
        <bgColor auto="1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activeCell="C4" sqref="C4"/>
    </sheetView>
  </sheetViews>
  <sheetFormatPr defaultRowHeight="15" x14ac:dyDescent="0.25"/>
  <cols>
    <col min="1" max="7" width="15" customWidth="1"/>
    <col min="10" max="10" width="15.7109375" customWidth="1"/>
    <col min="11" max="11" width="14.5703125" customWidth="1"/>
    <col min="12" max="12" width="14.85546875" customWidth="1"/>
    <col min="13" max="14" width="14.7109375" customWidth="1"/>
    <col min="15" max="15" width="16.5703125" customWidth="1"/>
    <col min="16" max="16" width="15.5703125" customWidth="1"/>
  </cols>
  <sheetData>
    <row r="1" spans="1:16" ht="39.950000000000003" customHeight="1" x14ac:dyDescent="0.25">
      <c r="A1" s="2" t="s">
        <v>0</v>
      </c>
      <c r="B1" s="3"/>
      <c r="C1" s="3"/>
      <c r="D1" s="3"/>
      <c r="E1" s="3"/>
      <c r="F1" s="3"/>
      <c r="G1" s="3"/>
      <c r="J1" s="2" t="s">
        <v>34</v>
      </c>
      <c r="K1" s="3"/>
      <c r="L1" s="3"/>
      <c r="M1" s="3"/>
      <c r="N1" s="3"/>
      <c r="O1" s="3"/>
      <c r="P1" s="3"/>
    </row>
    <row r="2" spans="1:16" ht="39.950000000000003" customHeight="1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" t="s">
        <v>7</v>
      </c>
    </row>
    <row r="3" spans="1:16" ht="39.950000000000003" customHeight="1" x14ac:dyDescent="0.25">
      <c r="A3" s="4"/>
      <c r="B3" s="4"/>
      <c r="C3" s="7">
        <v>1</v>
      </c>
      <c r="D3" s="7">
        <v>2</v>
      </c>
      <c r="E3" s="7">
        <v>3</v>
      </c>
      <c r="F3" s="7">
        <v>4</v>
      </c>
      <c r="G3" s="7">
        <v>5</v>
      </c>
      <c r="J3" s="4"/>
      <c r="K3" s="4"/>
      <c r="L3" s="7">
        <v>1</v>
      </c>
      <c r="M3" s="7">
        <v>2</v>
      </c>
      <c r="N3" s="7">
        <v>3</v>
      </c>
      <c r="O3" s="7">
        <v>4</v>
      </c>
      <c r="P3" s="7">
        <v>5</v>
      </c>
    </row>
    <row r="4" spans="1:16" ht="39.950000000000003" customHeight="1" thickBot="1" x14ac:dyDescent="0.3">
      <c r="A4" s="4"/>
      <c r="B4" s="4"/>
      <c r="C4" s="5">
        <v>2</v>
      </c>
      <c r="D4" s="5">
        <v>1</v>
      </c>
      <c r="E4" s="5">
        <v>1</v>
      </c>
      <c r="F4" s="5">
        <v>2</v>
      </c>
      <c r="G4" s="5"/>
      <c r="J4" s="4"/>
      <c r="K4" s="4"/>
      <c r="L4" s="6"/>
      <c r="M4" s="6"/>
      <c r="N4" s="6"/>
      <c r="O4" s="6"/>
      <c r="P4" s="6"/>
    </row>
    <row r="5" spans="1:16" ht="39.950000000000003" customHeight="1" x14ac:dyDescent="0.25">
      <c r="A5" s="7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7" t="s">
        <v>14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12</v>
      </c>
      <c r="O5" s="7" t="s">
        <v>13</v>
      </c>
      <c r="P5" s="7" t="s">
        <v>14</v>
      </c>
    </row>
    <row r="6" spans="1:16" ht="39.950000000000003" customHeight="1" thickBot="1" x14ac:dyDescent="0.3">
      <c r="A6" s="5"/>
      <c r="B6" s="5"/>
      <c r="C6" s="5"/>
      <c r="D6" s="5"/>
      <c r="E6" s="5"/>
      <c r="F6" s="5"/>
      <c r="G6" s="5"/>
      <c r="J6" s="6"/>
      <c r="K6" s="6"/>
      <c r="L6" s="5">
        <v>30</v>
      </c>
      <c r="M6" s="5">
        <v>20</v>
      </c>
      <c r="N6" s="5">
        <v>20</v>
      </c>
      <c r="O6" s="5">
        <v>80</v>
      </c>
      <c r="P6" s="5">
        <v>60</v>
      </c>
    </row>
    <row r="7" spans="1:16" ht="39.950000000000003" customHeight="1" x14ac:dyDescent="0.25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</row>
    <row r="8" spans="1:16" ht="39.950000000000003" customHeight="1" thickBot="1" x14ac:dyDescent="0.3">
      <c r="A8" s="5"/>
      <c r="B8" s="5"/>
      <c r="C8" s="5"/>
      <c r="D8" s="5"/>
      <c r="E8" s="5"/>
      <c r="F8" s="5"/>
      <c r="G8" s="5"/>
      <c r="J8" s="5">
        <v>60</v>
      </c>
      <c r="K8" s="5">
        <v>120</v>
      </c>
      <c r="L8" s="6"/>
      <c r="M8" s="6"/>
      <c r="N8" s="6"/>
      <c r="O8" s="6"/>
      <c r="P8" s="6"/>
    </row>
    <row r="9" spans="1:16" ht="39.950000000000003" customHeight="1" x14ac:dyDescent="0.25">
      <c r="A9" s="7" t="s">
        <v>22</v>
      </c>
      <c r="B9" s="7" t="s">
        <v>23</v>
      </c>
      <c r="C9" s="7" t="s">
        <v>24</v>
      </c>
      <c r="D9" s="7" t="s">
        <v>25</v>
      </c>
      <c r="E9" s="7" t="s">
        <v>26</v>
      </c>
      <c r="F9" s="7" t="s">
        <v>27</v>
      </c>
      <c r="G9" s="7" t="s">
        <v>28</v>
      </c>
      <c r="J9" s="7" t="s">
        <v>22</v>
      </c>
      <c r="K9" s="7" t="s">
        <v>23</v>
      </c>
      <c r="L9" s="7" t="s">
        <v>24</v>
      </c>
      <c r="M9" s="7" t="s">
        <v>25</v>
      </c>
      <c r="N9" s="7" t="s">
        <v>26</v>
      </c>
      <c r="O9" s="7" t="s">
        <v>27</v>
      </c>
      <c r="P9" s="7" t="s">
        <v>28</v>
      </c>
    </row>
    <row r="10" spans="1:16" ht="39.950000000000003" customHeight="1" thickBot="1" x14ac:dyDescent="0.3">
      <c r="A10" s="5"/>
      <c r="B10" s="5"/>
      <c r="C10" s="5"/>
      <c r="D10" s="5"/>
      <c r="E10" s="5"/>
      <c r="F10" s="5"/>
      <c r="G10" s="5"/>
      <c r="J10" s="6"/>
      <c r="K10" s="6"/>
      <c r="L10" s="6"/>
      <c r="M10" s="6"/>
      <c r="N10" s="6"/>
      <c r="O10" s="6"/>
      <c r="P10" s="6"/>
    </row>
    <row r="11" spans="1:16" ht="39.950000000000003" customHeight="1" x14ac:dyDescent="0.25">
      <c r="A11" s="7" t="s">
        <v>29</v>
      </c>
      <c r="B11" s="7" t="s">
        <v>30</v>
      </c>
      <c r="C11" s="7" t="s">
        <v>31</v>
      </c>
      <c r="D11" s="7" t="s">
        <v>32</v>
      </c>
      <c r="E11" s="7" t="s">
        <v>33</v>
      </c>
      <c r="F11" s="4"/>
      <c r="G11" s="4"/>
      <c r="J11" s="7" t="s">
        <v>29</v>
      </c>
      <c r="K11" s="7" t="s">
        <v>30</v>
      </c>
      <c r="L11" s="7" t="s">
        <v>31</v>
      </c>
      <c r="M11" s="7" t="s">
        <v>32</v>
      </c>
      <c r="N11" s="7" t="s">
        <v>33</v>
      </c>
      <c r="O11" s="4"/>
      <c r="P11" s="4"/>
    </row>
    <row r="12" spans="1:16" ht="39.950000000000003" customHeight="1" thickBot="1" x14ac:dyDescent="0.3">
      <c r="A12" s="5"/>
      <c r="B12" s="5"/>
      <c r="C12" s="5"/>
      <c r="D12" s="5"/>
      <c r="E12" s="5"/>
      <c r="J12" s="6"/>
      <c r="K12" s="6"/>
      <c r="L12" s="6"/>
      <c r="M12" s="6"/>
      <c r="N12" s="6"/>
    </row>
  </sheetData>
  <mergeCells count="2">
    <mergeCell ref="A1:G1"/>
    <mergeCell ref="J1:P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16" workbookViewId="0">
      <selection activeCell="E28" sqref="E28"/>
    </sheetView>
  </sheetViews>
  <sheetFormatPr defaultRowHeight="15" x14ac:dyDescent="0.25"/>
  <cols>
    <col min="1" max="1" width="27.140625" bestFit="1" customWidth="1"/>
    <col min="2" max="2" width="15.5703125" bestFit="1" customWidth="1"/>
    <col min="3" max="3" width="14.85546875" bestFit="1" customWidth="1"/>
    <col min="4" max="4" width="18.140625" bestFit="1" customWidth="1"/>
    <col min="6" max="6" width="16.28515625" bestFit="1" customWidth="1"/>
    <col min="7" max="7" width="20.7109375" bestFit="1" customWidth="1"/>
    <col min="8" max="8" width="19.140625" bestFit="1" customWidth="1"/>
    <col min="9" max="9" width="18.5703125" bestFit="1" customWidth="1"/>
  </cols>
  <sheetData>
    <row r="1" spans="1:9" x14ac:dyDescent="0.25">
      <c r="A1" t="s">
        <v>43</v>
      </c>
      <c r="B1" t="s">
        <v>41</v>
      </c>
      <c r="C1" t="s">
        <v>42</v>
      </c>
      <c r="D1" t="s">
        <v>44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</row>
    <row r="2" spans="1:9" x14ac:dyDescent="0.25">
      <c r="A2">
        <v>1</v>
      </c>
      <c r="B2">
        <f>'Календарь отгрузок'!C4</f>
        <v>2</v>
      </c>
      <c r="C2">
        <f>A2+7</f>
        <v>8</v>
      </c>
      <c r="D2">
        <v>8</v>
      </c>
      <c r="E2">
        <f>B2*60</f>
        <v>120</v>
      </c>
      <c r="F2">
        <v>30</v>
      </c>
      <c r="G2">
        <f>30+E2-F2</f>
        <v>120</v>
      </c>
      <c r="H2">
        <f>F3+F4+F5</f>
        <v>120</v>
      </c>
      <c r="I2" t="str">
        <f t="shared" ref="I2:I18" si="0">IF(G2=H2,"OK","НЕ СООТВЕТСТВУЕТ")</f>
        <v>OK</v>
      </c>
    </row>
    <row r="3" spans="1:9" x14ac:dyDescent="0.25">
      <c r="A3">
        <v>2</v>
      </c>
      <c r="B3">
        <f>'Календарь отгрузок'!D4</f>
        <v>1</v>
      </c>
      <c r="C3">
        <f>A3+7</f>
        <v>9</v>
      </c>
      <c r="D3">
        <v>9</v>
      </c>
      <c r="E3">
        <f>B3*60</f>
        <v>60</v>
      </c>
      <c r="F3">
        <v>20</v>
      </c>
      <c r="G3">
        <f>G2+E3-F3</f>
        <v>160</v>
      </c>
      <c r="H3">
        <f>F4+F5+F6</f>
        <v>160</v>
      </c>
      <c r="I3" t="str">
        <f t="shared" si="0"/>
        <v>OK</v>
      </c>
    </row>
    <row r="4" spans="1:9" x14ac:dyDescent="0.25">
      <c r="A4">
        <v>3</v>
      </c>
      <c r="B4">
        <f>'Календарь отгрузок'!E4</f>
        <v>1</v>
      </c>
      <c r="C4">
        <f>A4+7</f>
        <v>10</v>
      </c>
      <c r="D4">
        <v>10</v>
      </c>
      <c r="E4">
        <f>B4*60</f>
        <v>60</v>
      </c>
      <c r="F4">
        <v>20</v>
      </c>
      <c r="G4">
        <f>G3+E4-F4</f>
        <v>200</v>
      </c>
      <c r="H4">
        <f>F5+F6+F7</f>
        <v>200</v>
      </c>
      <c r="I4" t="str">
        <f t="shared" si="0"/>
        <v>OK</v>
      </c>
    </row>
    <row r="5" spans="1:9" x14ac:dyDescent="0.25">
      <c r="A5">
        <v>4</v>
      </c>
      <c r="B5">
        <f>'Календарь отгрузок'!F4</f>
        <v>2</v>
      </c>
      <c r="C5">
        <f>A5+7</f>
        <v>11</v>
      </c>
      <c r="D5">
        <v>11</v>
      </c>
      <c r="E5">
        <f>B5*60</f>
        <v>120</v>
      </c>
      <c r="F5">
        <v>80</v>
      </c>
      <c r="G5">
        <f>G4+E5-F5</f>
        <v>240</v>
      </c>
      <c r="H5">
        <f>F6+F7+F8</f>
        <v>240</v>
      </c>
      <c r="I5" t="str">
        <f t="shared" si="0"/>
        <v>OK</v>
      </c>
    </row>
    <row r="6" spans="1:9" x14ac:dyDescent="0.25">
      <c r="A6">
        <v>5</v>
      </c>
      <c r="B6">
        <f>'Календарь отгрузок'!G4</f>
        <v>0</v>
      </c>
      <c r="C6">
        <f>A6+7</f>
        <v>12</v>
      </c>
      <c r="D6">
        <v>12</v>
      </c>
      <c r="E6">
        <f>B6*60</f>
        <v>0</v>
      </c>
      <c r="F6">
        <v>60</v>
      </c>
      <c r="G6">
        <f>G5+E6-F6</f>
        <v>180</v>
      </c>
      <c r="H6">
        <f>F7+F8+F9</f>
        <v>180</v>
      </c>
      <c r="I6" t="str">
        <f t="shared" si="0"/>
        <v>OK</v>
      </c>
    </row>
    <row r="7" spans="1:9" x14ac:dyDescent="0.25">
      <c r="A7">
        <v>6</v>
      </c>
      <c r="B7">
        <f>'Календарь отгрузок'!A6</f>
        <v>0</v>
      </c>
      <c r="C7">
        <f>A7+7</f>
        <v>13</v>
      </c>
      <c r="D7">
        <v>13</v>
      </c>
      <c r="E7">
        <f>B7*60</f>
        <v>0</v>
      </c>
      <c r="F7">
        <v>60</v>
      </c>
      <c r="G7">
        <f>G6+E7-F7</f>
        <v>120</v>
      </c>
      <c r="H7">
        <f>F8+F9+F10</f>
        <v>120</v>
      </c>
      <c r="I7" t="str">
        <f t="shared" si="0"/>
        <v>OK</v>
      </c>
    </row>
    <row r="8" spans="1:9" x14ac:dyDescent="0.25">
      <c r="A8">
        <v>7</v>
      </c>
      <c r="B8">
        <f>'Календарь отгрузок'!B6</f>
        <v>0</v>
      </c>
      <c r="C8">
        <f>A8+7</f>
        <v>14</v>
      </c>
      <c r="D8">
        <v>14</v>
      </c>
      <c r="E8">
        <f>B8*60</f>
        <v>0</v>
      </c>
      <c r="F8">
        <v>120</v>
      </c>
      <c r="G8">
        <f>G7+E8-F8</f>
        <v>0</v>
      </c>
      <c r="H8">
        <f>F9+F10+F11</f>
        <v>0</v>
      </c>
      <c r="I8" t="str">
        <f t="shared" si="0"/>
        <v>OK</v>
      </c>
    </row>
    <row r="9" spans="1:9" x14ac:dyDescent="0.25">
      <c r="A9">
        <v>8</v>
      </c>
      <c r="B9">
        <f>'Календарь отгрузок'!C6</f>
        <v>0</v>
      </c>
      <c r="C9">
        <f t="shared" ref="C9:C18" si="1">A9+7</f>
        <v>15</v>
      </c>
      <c r="D9">
        <v>15</v>
      </c>
      <c r="E9">
        <f>B9*60</f>
        <v>0</v>
      </c>
      <c r="F9">
        <v>0</v>
      </c>
      <c r="G9">
        <f>G8+E9-F9</f>
        <v>0</v>
      </c>
      <c r="H9">
        <f>F10+F11+F12</f>
        <v>0</v>
      </c>
      <c r="I9" t="str">
        <f>IF(B9&gt;0,"ПОЗДНЯЯ ОТГРУЗКА","ОК")</f>
        <v>ОК</v>
      </c>
    </row>
    <row r="10" spans="1:9" x14ac:dyDescent="0.25">
      <c r="A10">
        <v>9</v>
      </c>
      <c r="B10">
        <f>'Календарь отгрузок'!D6</f>
        <v>0</v>
      </c>
      <c r="C10">
        <f t="shared" si="1"/>
        <v>16</v>
      </c>
      <c r="D10">
        <v>16</v>
      </c>
      <c r="E10">
        <f>B10*60</f>
        <v>0</v>
      </c>
      <c r="F10">
        <v>0</v>
      </c>
      <c r="G10">
        <f>G9+E10-F10</f>
        <v>0</v>
      </c>
      <c r="H10">
        <f>F11+F12+F13</f>
        <v>0</v>
      </c>
      <c r="I10" t="str">
        <f t="shared" ref="I10:I24" si="2">IF(B10&gt;0,"ПОЗДНЯЯ ОТГРУЗКА","ОК")</f>
        <v>ОК</v>
      </c>
    </row>
    <row r="11" spans="1:9" x14ac:dyDescent="0.25">
      <c r="A11">
        <v>10</v>
      </c>
      <c r="B11">
        <f>'Календарь отгрузок'!E6</f>
        <v>0</v>
      </c>
      <c r="C11">
        <f t="shared" si="1"/>
        <v>17</v>
      </c>
      <c r="D11">
        <v>17</v>
      </c>
      <c r="E11">
        <f>B11*60</f>
        <v>0</v>
      </c>
      <c r="F11">
        <v>0</v>
      </c>
      <c r="G11">
        <f>G10+E11-F11</f>
        <v>0</v>
      </c>
      <c r="H11">
        <f>F12+F13+F14</f>
        <v>0</v>
      </c>
      <c r="I11" t="str">
        <f t="shared" si="2"/>
        <v>ОК</v>
      </c>
    </row>
    <row r="12" spans="1:9" x14ac:dyDescent="0.25">
      <c r="A12">
        <v>11</v>
      </c>
      <c r="B12">
        <f>'Календарь отгрузок'!F6</f>
        <v>0</v>
      </c>
      <c r="C12">
        <f t="shared" si="1"/>
        <v>18</v>
      </c>
      <c r="D12">
        <v>18</v>
      </c>
      <c r="E12">
        <f>B12*60</f>
        <v>0</v>
      </c>
      <c r="F12">
        <v>0</v>
      </c>
      <c r="G12">
        <f>G11+E12-F12</f>
        <v>0</v>
      </c>
      <c r="H12">
        <f>F13+F14+F15</f>
        <v>0</v>
      </c>
      <c r="I12" t="str">
        <f t="shared" si="2"/>
        <v>ОК</v>
      </c>
    </row>
    <row r="13" spans="1:9" x14ac:dyDescent="0.25">
      <c r="A13">
        <v>12</v>
      </c>
      <c r="B13">
        <f>'Календарь отгрузок'!G6</f>
        <v>0</v>
      </c>
      <c r="C13">
        <f t="shared" si="1"/>
        <v>19</v>
      </c>
      <c r="D13">
        <v>19</v>
      </c>
      <c r="E13">
        <f>B13*60</f>
        <v>0</v>
      </c>
      <c r="F13">
        <v>0</v>
      </c>
      <c r="G13">
        <f>G12+E13-F13</f>
        <v>0</v>
      </c>
      <c r="H13">
        <f>F14+F15+F16</f>
        <v>0</v>
      </c>
      <c r="I13" t="str">
        <f t="shared" si="2"/>
        <v>ОК</v>
      </c>
    </row>
    <row r="14" spans="1:9" x14ac:dyDescent="0.25">
      <c r="A14">
        <v>13</v>
      </c>
      <c r="B14">
        <f>'Календарь отгрузок'!A8</f>
        <v>0</v>
      </c>
      <c r="C14">
        <f t="shared" si="1"/>
        <v>20</v>
      </c>
      <c r="D14">
        <v>20</v>
      </c>
      <c r="E14">
        <f>B14*60</f>
        <v>0</v>
      </c>
      <c r="F14">
        <v>0</v>
      </c>
      <c r="G14">
        <f>G13+E14-F14</f>
        <v>0</v>
      </c>
      <c r="H14">
        <f>F15+F16+F17</f>
        <v>0</v>
      </c>
      <c r="I14" t="str">
        <f t="shared" si="2"/>
        <v>ОК</v>
      </c>
    </row>
    <row r="15" spans="1:9" x14ac:dyDescent="0.25">
      <c r="A15">
        <v>14</v>
      </c>
      <c r="B15">
        <f>'Календарь отгрузок'!B8</f>
        <v>0</v>
      </c>
      <c r="C15">
        <f t="shared" si="1"/>
        <v>21</v>
      </c>
      <c r="D15">
        <v>21</v>
      </c>
      <c r="E15">
        <f>B15*60</f>
        <v>0</v>
      </c>
      <c r="F15">
        <v>0</v>
      </c>
      <c r="G15">
        <f>G14+E15-F15</f>
        <v>0</v>
      </c>
      <c r="H15">
        <f>F16+F17+F18</f>
        <v>0</v>
      </c>
      <c r="I15" t="str">
        <f t="shared" si="2"/>
        <v>ОК</v>
      </c>
    </row>
    <row r="16" spans="1:9" x14ac:dyDescent="0.25">
      <c r="A16">
        <v>15</v>
      </c>
      <c r="B16">
        <f>'Календарь отгрузок'!C8</f>
        <v>0</v>
      </c>
      <c r="C16">
        <f t="shared" si="1"/>
        <v>22</v>
      </c>
      <c r="D16">
        <v>22</v>
      </c>
      <c r="E16">
        <f>B16*60</f>
        <v>0</v>
      </c>
      <c r="F16">
        <v>0</v>
      </c>
      <c r="G16">
        <f>G15+E16-F16</f>
        <v>0</v>
      </c>
      <c r="H16">
        <f>F17+F18+F19</f>
        <v>0</v>
      </c>
      <c r="I16" t="str">
        <f t="shared" si="2"/>
        <v>ОК</v>
      </c>
    </row>
    <row r="17" spans="1:9" x14ac:dyDescent="0.25">
      <c r="A17">
        <v>16</v>
      </c>
      <c r="B17">
        <f>'Календарь отгрузок'!D8</f>
        <v>0</v>
      </c>
      <c r="C17">
        <f t="shared" si="1"/>
        <v>23</v>
      </c>
      <c r="D17">
        <v>23</v>
      </c>
      <c r="E17">
        <f>B17*60</f>
        <v>0</v>
      </c>
      <c r="F17">
        <v>0</v>
      </c>
      <c r="G17">
        <f>G16+E17-F17</f>
        <v>0</v>
      </c>
      <c r="H17">
        <f>F18+F19+F20</f>
        <v>0</v>
      </c>
      <c r="I17" t="str">
        <f t="shared" si="2"/>
        <v>ОК</v>
      </c>
    </row>
    <row r="18" spans="1:9" x14ac:dyDescent="0.25">
      <c r="A18">
        <v>17</v>
      </c>
      <c r="B18">
        <f>'Календарь отгрузок'!E8</f>
        <v>0</v>
      </c>
      <c r="C18">
        <f t="shared" si="1"/>
        <v>24</v>
      </c>
      <c r="D18">
        <v>24</v>
      </c>
      <c r="E18">
        <f>B18*60</f>
        <v>0</v>
      </c>
      <c r="F18">
        <v>0</v>
      </c>
      <c r="G18">
        <f>G17+E18-F18</f>
        <v>0</v>
      </c>
      <c r="H18">
        <f>F19+F20+F21</f>
        <v>0</v>
      </c>
      <c r="I18" t="str">
        <f t="shared" si="2"/>
        <v>ОК</v>
      </c>
    </row>
    <row r="19" spans="1:9" x14ac:dyDescent="0.25">
      <c r="A19">
        <v>18</v>
      </c>
      <c r="B19">
        <f>'Календарь отгрузок'!F8</f>
        <v>0</v>
      </c>
      <c r="C19">
        <f>A19+7</f>
        <v>25</v>
      </c>
      <c r="D19">
        <v>25</v>
      </c>
      <c r="E19">
        <f>B19*60</f>
        <v>0</v>
      </c>
      <c r="F19">
        <v>0</v>
      </c>
      <c r="G19">
        <f>G18+E19-F19</f>
        <v>0</v>
      </c>
      <c r="H19">
        <f t="shared" ref="H19:H24" si="3">F20+F21+F22</f>
        <v>0</v>
      </c>
      <c r="I19" t="str">
        <f t="shared" si="2"/>
        <v>ОК</v>
      </c>
    </row>
    <row r="20" spans="1:9" x14ac:dyDescent="0.25">
      <c r="A20">
        <v>19</v>
      </c>
      <c r="B20">
        <f>'Календарь отгрузок'!G8</f>
        <v>0</v>
      </c>
      <c r="C20">
        <f>A20+7</f>
        <v>26</v>
      </c>
      <c r="D20">
        <v>26</v>
      </c>
      <c r="E20">
        <f>B20*60</f>
        <v>0</v>
      </c>
      <c r="F20">
        <v>0</v>
      </c>
      <c r="G20">
        <f>G19+E20-F20</f>
        <v>0</v>
      </c>
      <c r="H20">
        <f t="shared" si="3"/>
        <v>0</v>
      </c>
      <c r="I20" t="str">
        <f t="shared" si="2"/>
        <v>ОК</v>
      </c>
    </row>
    <row r="21" spans="1:9" x14ac:dyDescent="0.25">
      <c r="A21">
        <v>20</v>
      </c>
      <c r="B21">
        <f>'Календарь отгрузок'!A10</f>
        <v>0</v>
      </c>
      <c r="C21">
        <f t="shared" ref="C21:C24" si="4">A21+7</f>
        <v>27</v>
      </c>
      <c r="D21">
        <v>27</v>
      </c>
      <c r="E21">
        <f>B21*60</f>
        <v>0</v>
      </c>
      <c r="F21">
        <v>0</v>
      </c>
      <c r="G21">
        <f>G20+E21-F21</f>
        <v>0</v>
      </c>
      <c r="H21">
        <f t="shared" si="3"/>
        <v>0</v>
      </c>
      <c r="I21" t="str">
        <f t="shared" si="2"/>
        <v>ОК</v>
      </c>
    </row>
    <row r="22" spans="1:9" x14ac:dyDescent="0.25">
      <c r="A22">
        <v>21</v>
      </c>
      <c r="B22">
        <f>'Календарь отгрузок'!B10</f>
        <v>0</v>
      </c>
      <c r="C22">
        <f t="shared" si="4"/>
        <v>28</v>
      </c>
      <c r="D22">
        <v>28</v>
      </c>
      <c r="E22">
        <f>B22*60</f>
        <v>0</v>
      </c>
      <c r="F22">
        <v>0</v>
      </c>
      <c r="G22">
        <f>G21+E22-F22</f>
        <v>0</v>
      </c>
      <c r="H22">
        <f t="shared" si="3"/>
        <v>0</v>
      </c>
      <c r="I22" t="str">
        <f t="shared" si="2"/>
        <v>ОК</v>
      </c>
    </row>
    <row r="23" spans="1:9" x14ac:dyDescent="0.25">
      <c r="A23">
        <v>22</v>
      </c>
      <c r="B23">
        <f>'Календарь отгрузок'!C10</f>
        <v>0</v>
      </c>
      <c r="C23">
        <f t="shared" si="4"/>
        <v>29</v>
      </c>
      <c r="D23">
        <v>29</v>
      </c>
      <c r="E23">
        <f>B23*60</f>
        <v>0</v>
      </c>
      <c r="F23">
        <v>0</v>
      </c>
      <c r="G23">
        <f>G22+E23-F23</f>
        <v>0</v>
      </c>
      <c r="H23">
        <f t="shared" si="3"/>
        <v>0</v>
      </c>
      <c r="I23" t="str">
        <f t="shared" si="2"/>
        <v>ОК</v>
      </c>
    </row>
    <row r="24" spans="1:9" x14ac:dyDescent="0.25">
      <c r="A24">
        <v>23</v>
      </c>
      <c r="B24">
        <f>'Календарь отгрузок'!D10</f>
        <v>0</v>
      </c>
      <c r="C24">
        <f t="shared" si="4"/>
        <v>30</v>
      </c>
      <c r="D24">
        <v>30</v>
      </c>
      <c r="E24">
        <f>B24*60</f>
        <v>0</v>
      </c>
      <c r="F24">
        <v>0</v>
      </c>
      <c r="G24">
        <f>G23+E24-F24</f>
        <v>0</v>
      </c>
      <c r="H24">
        <f t="shared" si="3"/>
        <v>0</v>
      </c>
      <c r="I24" t="str">
        <f t="shared" si="2"/>
        <v>ОК</v>
      </c>
    </row>
    <row r="25" spans="1:9" x14ac:dyDescent="0.25">
      <c r="A25">
        <v>24</v>
      </c>
      <c r="B25">
        <f>'Календарь отгрузок'!E10</f>
        <v>0</v>
      </c>
    </row>
    <row r="26" spans="1:9" x14ac:dyDescent="0.25">
      <c r="A26">
        <v>25</v>
      </c>
      <c r="B26">
        <f>'Календарь отгрузок'!F10</f>
        <v>0</v>
      </c>
    </row>
    <row r="27" spans="1:9" x14ac:dyDescent="0.25">
      <c r="A27">
        <v>26</v>
      </c>
      <c r="B27">
        <f>'Календарь отгрузок'!G10</f>
        <v>0</v>
      </c>
    </row>
    <row r="28" spans="1:9" x14ac:dyDescent="0.25">
      <c r="A28">
        <v>27</v>
      </c>
      <c r="B28">
        <f>'Календарь отгрузок'!A12</f>
        <v>0</v>
      </c>
    </row>
    <row r="29" spans="1:9" x14ac:dyDescent="0.25">
      <c r="A29">
        <v>28</v>
      </c>
      <c r="B29">
        <f>'Календарь отгрузок'!B12</f>
        <v>0</v>
      </c>
    </row>
    <row r="30" spans="1:9" x14ac:dyDescent="0.25">
      <c r="A30">
        <v>29</v>
      </c>
      <c r="B30">
        <f>'Календарь отгрузок'!C12</f>
        <v>0</v>
      </c>
    </row>
    <row r="31" spans="1:9" x14ac:dyDescent="0.25">
      <c r="A31">
        <v>30</v>
      </c>
      <c r="B31">
        <f>'Календарь отгрузок'!D12</f>
        <v>0</v>
      </c>
    </row>
    <row r="32" spans="1:9" x14ac:dyDescent="0.25">
      <c r="A32">
        <v>31</v>
      </c>
      <c r="B32">
        <f>'Календарь отгрузок'!E12</f>
        <v>0</v>
      </c>
    </row>
    <row r="36" spans="1:3" ht="21" x14ac:dyDescent="0.35">
      <c r="A36" s="8" t="s">
        <v>40</v>
      </c>
      <c r="B36" s="8" t="str">
        <f>IF(COUNTIF(I5:I18,"НЕ СООТВЕТСТВУЕТ")=0,"Все условия выполнены","Есть нарушения")</f>
        <v>Все условия выполнены</v>
      </c>
      <c r="C3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Календарь отгрузок</vt:lpstr>
      <vt:lpstr>Проверка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Афонин Дмитрий Александрович</cp:lastModifiedBy>
  <dcterms:created xsi:type="dcterms:W3CDTF">2025-10-06T06:37:49Z</dcterms:created>
  <dcterms:modified xsi:type="dcterms:W3CDTF">2025-10-06T07:47:37Z</dcterms:modified>
</cp:coreProperties>
</file>